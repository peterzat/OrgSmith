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<sst xmlns="http://schemas.openxmlformats.org/spreadsheetml/2006/main" count="17" uniqueCount="17">
  <si>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Verdant Health Advisory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</si>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</sst>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233940</v>
      </c>
      <c r="C4" s="3">
        <v>326266</v>
      </c>
      <c r="D4" s="3">
        <v>301296</v>
      </c>
      <c r="E4" s="3">
        <v>285498</v>
      </c>
      <c r="F4" s="4">
        <f>SUM(B4:E4)</f>
        <v>1147000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554200</v>
      </c>
    </row>
    <row r="8" spans="1:6">
      <c r="A8" t="s">
        <v>11</v>
      </c>
      <c r="F8" s="3">
        <v>113400</v>
      </c>
    </row>
    <row r="9" spans="1:6">
      <c r="A9" t="s">
        <v>12</v>
      </c>
      <c r="F9" s="3">
        <v>78080</v>
      </c>
    </row>
    <row r="10" spans="1:6">
      <c r="A10" t="s">
        <v>13</v>
      </c>
      <c r="F10" s="3">
        <v>69470</v>
      </c>
    </row>
    <row r="11" spans="1:6">
      <c r="A11" t="s">
        <v>14</v>
      </c>
      <c r="F11" s="3">
        <v>46810</v>
      </c>
    </row>
    <row r="12" spans="1:6">
      <c r="A12" t="s">
        <v>15</v>
      </c>
      <c r="F12" s="4">
        <f>SUM(F7:F11)</f>
        <v>861960</v>
      </c>
    </row>
    <row r="14" spans="1:6">
      <c r="A14" t="s">
        <v>16</v>
      </c>
      <c r="F14" s="4">
        <f>F4-F12</f>
        <v>285040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Verdant Health Advisory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Richard Marsh</dc:creator>
  <cp:lastModifiedBy>Richard Marsh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